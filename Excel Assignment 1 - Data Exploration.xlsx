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Dataset" sheetId="1" r:id="rId1"/>
  </sheets>
  <calcPr calcId="144525"/>
  <extLst>
    <ext uri="GoogleSheetsCustomDataVersion2">
      <go:sheetsCustomData xmlns:go="http://customooxmlschemas.google.com/" r:id="" roundtripDataChecksum="hJb8T1ZghnA6qFS/bC5j8xshLTM/vtIaNva7vzkMTCI="/>
    </ext>
  </extLst>
</workbook>
</file>

<file path=xl/calcChain.xml><?xml version="1.0" encoding="utf-8"?>
<calcChain xmlns="http://schemas.openxmlformats.org/spreadsheetml/2006/main">
  <c r="AH5" i="1" l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4" i="1"/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4" i="1"/>
  <c r="AA10" i="1"/>
  <c r="W10" i="1"/>
  <c r="J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10" i="1"/>
  <c r="N10" i="1"/>
  <c r="N6" i="1"/>
  <c r="J14" i="1"/>
  <c r="J6" i="1"/>
</calcChain>
</file>

<file path=xl/sharedStrings.xml><?xml version="1.0" encoding="utf-8"?>
<sst xmlns="http://schemas.openxmlformats.org/spreadsheetml/2006/main" count="286" uniqueCount="130">
  <si>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</si>
  <si>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</si>
  <si>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</si>
  <si>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</si>
  <si>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</si>
  <si>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</si>
  <si>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</si>
  <si>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</si>
  <si>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</si>
  <si>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</si>
  <si>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</si>
  <si>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</si>
  <si>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</si>
  <si>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</si>
  <si>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</si>
  <si>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</si>
  <si>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</si>
  <si>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</si>
  <si>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</si>
  <si>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</si>
  <si>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</si>
  <si>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</si>
  <si>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</si>
  <si>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</si>
  <si>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</si>
  <si>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</si>
  <si>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</si>
  <si>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</si>
  <si>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</si>
  <si>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</si>
  <si>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</si>
  <si>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</si>
  <si>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</si>
  <si>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</si>
  <si>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</si>
  <si>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</si>
  <si>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</si>
  <si>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</si>
  <si>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</si>
  <si>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</si>
  <si>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</si>
  <si>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</si>
  <si>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</si>
  <si>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</si>
  <si>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</si>
  <si>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</si>
  <si>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</si>
  <si>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</si>
  <si>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</si>
  <si>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</si>
  <si>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</si>
  <si>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</si>
  <si>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</si>
  <si>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</si>
  <si>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</si>
  <si>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</si>
  <si>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</si>
  <si>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</si>
  <si>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</si>
  <si>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</si>
  <si>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</si>
  <si>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</si>
  <si>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</si>
  <si>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</si>
  <si>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</si>
  <si>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</si>
  <si>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</si>
  <si>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</si>
  <si>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</si>
  <si>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</si>
  <si>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</si>
  <si>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</si>
  <si>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</si>
  <si>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</si>
  <si>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</si>
  <si>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</si>
  <si>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</si>
  <si>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</si>
  <si>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</si>
  <si>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</si>
  <si>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</si>
  <si>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</si>
  <si>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</si>
  <si>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</si>
  <si>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</si>
  <si>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</si>
  <si>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</si>
  <si>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</si>
  <si>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</si>
  <si>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</si>
  <si>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</si>
  <si>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</si>
  <si>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</si>
  <si>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all product </t>
  </si>
  <si>
    <t>Max Price</t>
  </si>
  <si>
    <t>Min Price</t>
  </si>
  <si>
    <t>Average price of the products.</t>
  </si>
  <si>
    <t>How many products exist in the dataset.</t>
  </si>
  <si>
    <t>Price range</t>
  </si>
  <si>
    <t>number of products with a price less than $100</t>
  </si>
  <si>
    <t>first 2 characters Left Function - 'Product ID'</t>
  </si>
  <si>
    <t>last 2 characters Right Function - 'Product ID'</t>
  </si>
  <si>
    <t>4th to 6th characters Mid Function - 'Product ID'</t>
  </si>
  <si>
    <t>Question 1 :</t>
  </si>
  <si>
    <t>Calculate the total price of all products in the dataset.</t>
  </si>
  <si>
    <t>Determine how many products exist in the dataset.</t>
  </si>
  <si>
    <t>Calculate the average price of the products.</t>
  </si>
  <si>
    <t>Question 2 :</t>
  </si>
  <si>
    <t>Identify the minimum price among all products.</t>
  </si>
  <si>
    <t>MIN AND MAX VALUES</t>
  </si>
  <si>
    <t>Use the IF function to categorize products based on their price:</t>
  </si>
  <si>
    <t>○ If Price ≥ $500 → classify as High Price</t>
  </si>
  <si>
    <t>○ If Price &lt; $500 → classify as Standard Price</t>
  </si>
  <si>
    <t>Question 3 :</t>
  </si>
  <si>
    <t>Formula=IF(D2&gt;=500,"High Price","Standard Price")</t>
  </si>
  <si>
    <t>Question 4 :</t>
  </si>
  <si>
    <t>SUMIF function to calculate the total price of products in the</t>
  </si>
  <si>
    <t>Electronics category.</t>
  </si>
  <si>
    <t>formula=SUMIF(F2:F35,"electronics",D2:D35)</t>
  </si>
  <si>
    <t>Question 5 :</t>
  </si>
  <si>
    <t>COUNTIF function to determine the number of products with a price</t>
  </si>
  <si>
    <t>less than $100.</t>
  </si>
  <si>
    <t>Formula=COUNTIF(D2:D100,"&lt;100")</t>
  </si>
  <si>
    <t>Country Code - =RIGHT(AE4:AE37,2)</t>
  </si>
  <si>
    <t>Day -  =LEFT(AE4:AE37,2)</t>
  </si>
  <si>
    <t>Month - EXAMPLE=MID(AE4,4,6)</t>
  </si>
  <si>
    <t>Sum, = SUM (D2:D35)</t>
  </si>
  <si>
    <t>Count, =COUNTA(B2:B35)</t>
  </si>
  <si>
    <t>Average,  =AVERAGE(D2:D35)</t>
  </si>
  <si>
    <t>Identify the maximum price among all products. =MAX(D2:D35)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</si>
</sst>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 applyAlignme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5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8" fillId="0" borderId="0" xfId="0" applyFont="1" applyAlignment="1"/>
    <xf numFmtId="0" fontId="3" fillId="0" borderId="0" xfId="0" applyFont="1" applyBorder="1" applyAlignment="1">
      <alignment horizontal="center"/>
    </xf>
    <xf numFmtId="0" fontId="9" fillId="0" borderId="0" xfId="0" applyFont="1" applyAlignme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J1000"/>
  <sheetViews>
    <sheetView tabSelected="1" workbookViewId="0">
      <selection activeCell="M13" sqref="M13"/>
    </sheetView>
  </sheetViews>
  <sheetFormatPr defaultColWidth="12.5703125" defaultRowHeight="15" customHeight="1" x14ac:dyDescent="0.2"/>
  <cols>
    <col min="2" max="2" width="14.140625" customWidth="1"/>
    <col min="9" max="9" width="42.140625" bestFit="1" customWidth="1"/>
    <col min="13" max="13" width="24.42578125" bestFit="1" customWidth="1"/>
    <col min="14" max="14" width="44.140625" bestFit="1" customWidth="1"/>
    <col min="19" max="19" width="13.42578125" bestFit="1" customWidth="1"/>
    <col min="22" max="22" width="44.140625" bestFit="1" customWidth="1"/>
    <col min="26" max="26" width="44.140625" bestFit="1" customWidth="1"/>
    <col min="28" max="28" width="5.28515625" customWidth="1"/>
    <col min="29" max="30" width="12.5703125" customWidth="1"/>
    <col min="32" max="32" width="41.28515625" style="4" bestFit="1" customWidth="1"/>
    <col min="33" max="33" width="2.28515625" style="4" customWidth="1"/>
    <col min="34" max="34" width="42.5703125" style="4" bestFit="1" customWidth="1"/>
    <col min="35" max="35" width="2.140625" style="4" customWidth="1"/>
    <col min="36" max="36" width="44.7109375" style="4" bestFit="1" customWidth="1"/>
  </cols>
  <sheetData>
    <row r="1" spans="1:36" ht="15.7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1"/>
      <c r="H1" s="1"/>
      <c r="I1" s="1"/>
      <c r="J1" s="1"/>
      <c r="K1" s="1"/>
      <c r="L1" s="1"/>
      <c r="M1" s="1"/>
    </row>
    <row r="2" spans="1:36" ht="15.75" customHeight="1" x14ac:dyDescent="0.25">
      <c r="A2" s="9" t="s">
        <v>6</v>
      </c>
      <c r="B2" s="9" t="s">
        <v>7</v>
      </c>
      <c r="C2" s="9" t="s">
        <v>8</v>
      </c>
      <c r="D2" s="9">
        <v>1000</v>
      </c>
      <c r="E2" s="9">
        <v>30</v>
      </c>
      <c r="F2" s="9" t="s">
        <v>9</v>
      </c>
      <c r="G2" s="2"/>
      <c r="H2" s="2"/>
      <c r="I2" s="2"/>
      <c r="J2" s="2"/>
      <c r="K2" s="2"/>
      <c r="L2" s="2"/>
      <c r="M2" s="2"/>
      <c r="P2" s="18" t="s">
        <v>113</v>
      </c>
      <c r="AE2" s="17" t="s">
        <v>0</v>
      </c>
      <c r="AF2" s="27" t="s">
        <v>124</v>
      </c>
      <c r="AG2" s="14"/>
      <c r="AH2" s="27" t="s">
        <v>123</v>
      </c>
      <c r="AJ2" s="27" t="s">
        <v>125</v>
      </c>
    </row>
    <row r="3" spans="1:36" ht="15.75" customHeight="1" x14ac:dyDescent="0.25">
      <c r="A3" s="10" t="s">
        <v>10</v>
      </c>
      <c r="B3" s="10" t="s">
        <v>11</v>
      </c>
      <c r="C3" s="10" t="s">
        <v>12</v>
      </c>
      <c r="D3" s="10">
        <v>80</v>
      </c>
      <c r="E3" s="10">
        <v>15</v>
      </c>
      <c r="F3" s="10" t="s">
        <v>13</v>
      </c>
      <c r="G3" s="2"/>
      <c r="H3" s="2"/>
      <c r="I3" s="18" t="s">
        <v>103</v>
      </c>
      <c r="J3" s="19"/>
      <c r="K3" s="2"/>
      <c r="L3" s="2"/>
      <c r="M3" s="18" t="s">
        <v>107</v>
      </c>
      <c r="P3" s="18"/>
      <c r="V3" s="18" t="s">
        <v>115</v>
      </c>
      <c r="Z3" s="18" t="s">
        <v>119</v>
      </c>
      <c r="AE3" s="17"/>
      <c r="AF3" s="13" t="s">
        <v>100</v>
      </c>
      <c r="AH3" s="13" t="s">
        <v>101</v>
      </c>
      <c r="AJ3" s="13" t="s">
        <v>102</v>
      </c>
    </row>
    <row r="4" spans="1:36" ht="15.75" customHeight="1" x14ac:dyDescent="0.25">
      <c r="A4" s="9" t="s">
        <v>14</v>
      </c>
      <c r="B4" s="9" t="s">
        <v>15</v>
      </c>
      <c r="C4" s="9" t="s">
        <v>16</v>
      </c>
      <c r="D4" s="9">
        <v>130</v>
      </c>
      <c r="E4" s="9">
        <v>40</v>
      </c>
      <c r="F4" s="9" t="s">
        <v>17</v>
      </c>
      <c r="G4" s="2"/>
      <c r="H4" s="2"/>
      <c r="I4" s="23" t="s">
        <v>126</v>
      </c>
      <c r="J4" s="20"/>
      <c r="K4" s="2"/>
      <c r="L4" s="2"/>
      <c r="M4" s="23" t="s">
        <v>109</v>
      </c>
      <c r="P4" s="18" t="s">
        <v>110</v>
      </c>
      <c r="V4" t="s">
        <v>116</v>
      </c>
      <c r="Z4" t="s">
        <v>120</v>
      </c>
      <c r="AE4" s="6" t="s">
        <v>6</v>
      </c>
      <c r="AF4" s="15" t="str">
        <f>LEFT(AE4:AE37,2)</f>
        <v>28</v>
      </c>
      <c r="AH4" s="15" t="str">
        <f>RIGHT(AE4:AE37,2)</f>
        <v>US</v>
      </c>
      <c r="AJ4" s="15" t="str">
        <f>MID(AE4,4,6)</f>
        <v>JAN-US</v>
      </c>
    </row>
    <row r="5" spans="1:36" ht="15.75" customHeight="1" x14ac:dyDescent="0.25">
      <c r="A5" s="10" t="s">
        <v>18</v>
      </c>
      <c r="B5" s="10" t="s">
        <v>19</v>
      </c>
      <c r="C5" s="10" t="s">
        <v>20</v>
      </c>
      <c r="D5" s="10">
        <v>900</v>
      </c>
      <c r="E5" s="10">
        <v>25</v>
      </c>
      <c r="F5" s="10" t="s">
        <v>9</v>
      </c>
      <c r="G5" s="2"/>
      <c r="H5" s="2"/>
      <c r="I5" s="23" t="s">
        <v>104</v>
      </c>
      <c r="J5" s="20"/>
      <c r="K5" s="2"/>
      <c r="L5" s="2"/>
      <c r="M5" t="s">
        <v>108</v>
      </c>
      <c r="P5" t="s">
        <v>111</v>
      </c>
      <c r="Q5" s="18"/>
      <c r="V5" t="s">
        <v>117</v>
      </c>
      <c r="Z5" t="s">
        <v>121</v>
      </c>
      <c r="AE5" s="7" t="s">
        <v>10</v>
      </c>
      <c r="AF5" s="15" t="str">
        <f t="shared" ref="AF5:AF37" si="0">LEFT(AE5:AE38,2)</f>
        <v>15</v>
      </c>
      <c r="AH5" s="15" t="str">
        <f t="shared" ref="AH5:AH37" si="1">RIGHT(AE5:AE38,2)</f>
        <v>US</v>
      </c>
      <c r="AJ5" s="15" t="str">
        <f t="shared" ref="AJ5:AJ37" si="2">MID(AE5,4,6)</f>
        <v>FEB-US</v>
      </c>
    </row>
    <row r="6" spans="1:36" ht="15.75" customHeight="1" x14ac:dyDescent="0.25">
      <c r="A6" s="9" t="s">
        <v>21</v>
      </c>
      <c r="B6" s="9" t="s">
        <v>22</v>
      </c>
      <c r="C6" s="9" t="s">
        <v>23</v>
      </c>
      <c r="D6" s="9">
        <v>70</v>
      </c>
      <c r="E6" s="9">
        <v>20</v>
      </c>
      <c r="F6" s="9" t="s">
        <v>24</v>
      </c>
      <c r="G6" s="2"/>
      <c r="H6" s="2"/>
      <c r="I6" s="21" t="s">
        <v>93</v>
      </c>
      <c r="J6" s="21">
        <f>SUM(D2:D35)</f>
        <v>10100</v>
      </c>
      <c r="K6" s="2"/>
      <c r="L6" s="2"/>
      <c r="M6" s="16" t="s">
        <v>95</v>
      </c>
      <c r="N6" s="16">
        <f>MIN(D2:D35)</f>
        <v>30</v>
      </c>
      <c r="P6" t="s">
        <v>112</v>
      </c>
      <c r="T6" s="24"/>
      <c r="U6" s="24"/>
      <c r="X6" s="24"/>
      <c r="Y6" s="24"/>
      <c r="AE6" s="6" t="s">
        <v>14</v>
      </c>
      <c r="AF6" s="15" t="str">
        <f t="shared" si="0"/>
        <v>03</v>
      </c>
      <c r="AH6" s="15" t="str">
        <f t="shared" si="1"/>
        <v>US</v>
      </c>
      <c r="AJ6" s="15" t="str">
        <f t="shared" si="2"/>
        <v>MAR-US</v>
      </c>
    </row>
    <row r="7" spans="1:36" ht="15.75" customHeight="1" x14ac:dyDescent="0.2">
      <c r="A7" s="10" t="s">
        <v>25</v>
      </c>
      <c r="B7" s="10" t="s">
        <v>26</v>
      </c>
      <c r="C7" s="10" t="s">
        <v>27</v>
      </c>
      <c r="D7" s="10">
        <v>200</v>
      </c>
      <c r="E7" s="10">
        <v>45</v>
      </c>
      <c r="F7" s="10" t="s">
        <v>9</v>
      </c>
      <c r="G7" s="2"/>
      <c r="H7" s="2"/>
      <c r="I7" s="19"/>
      <c r="J7" s="19"/>
      <c r="K7" s="2"/>
      <c r="L7" s="2"/>
      <c r="M7" s="12"/>
      <c r="N7" s="11"/>
      <c r="P7" s="26" t="s">
        <v>114</v>
      </c>
      <c r="Q7" s="26"/>
      <c r="R7" s="26"/>
      <c r="S7" s="26"/>
      <c r="T7" s="11"/>
      <c r="U7" s="11"/>
      <c r="V7" s="25" t="s">
        <v>118</v>
      </c>
      <c r="X7" s="11"/>
      <c r="Y7" s="11"/>
      <c r="Z7" s="25" t="s">
        <v>122</v>
      </c>
      <c r="AE7" s="7" t="s">
        <v>18</v>
      </c>
      <c r="AF7" s="15" t="str">
        <f t="shared" si="0"/>
        <v>11</v>
      </c>
      <c r="AH7" s="15" t="str">
        <f t="shared" si="1"/>
        <v>US</v>
      </c>
      <c r="AJ7" s="15" t="str">
        <f t="shared" si="2"/>
        <v>APR-US</v>
      </c>
    </row>
    <row r="8" spans="1:36" ht="15.75" customHeight="1" x14ac:dyDescent="0.25">
      <c r="A8" s="9" t="s">
        <v>28</v>
      </c>
      <c r="B8" s="9" t="s">
        <v>29</v>
      </c>
      <c r="C8" s="9" t="s">
        <v>30</v>
      </c>
      <c r="D8" s="9">
        <v>30</v>
      </c>
      <c r="E8" s="9">
        <v>5</v>
      </c>
      <c r="F8" s="9" t="s">
        <v>13</v>
      </c>
      <c r="G8" s="2"/>
      <c r="H8" s="2"/>
      <c r="I8" s="23" t="s">
        <v>127</v>
      </c>
      <c r="J8" s="20"/>
      <c r="K8" s="2"/>
      <c r="L8" s="2"/>
      <c r="N8" s="11"/>
      <c r="T8" s="11"/>
      <c r="U8" s="11"/>
      <c r="X8" s="11"/>
      <c r="Y8" s="11"/>
      <c r="AE8" s="6" t="s">
        <v>21</v>
      </c>
      <c r="AF8" s="15" t="str">
        <f t="shared" si="0"/>
        <v>22</v>
      </c>
      <c r="AH8" s="15" t="str">
        <f t="shared" si="1"/>
        <v>US</v>
      </c>
      <c r="AJ8" s="15" t="str">
        <f t="shared" si="2"/>
        <v>MAY-US</v>
      </c>
    </row>
    <row r="9" spans="1:36" ht="15.75" customHeight="1" x14ac:dyDescent="0.25">
      <c r="A9" s="10" t="s">
        <v>31</v>
      </c>
      <c r="B9" s="10" t="s">
        <v>32</v>
      </c>
      <c r="C9" s="10" t="s">
        <v>33</v>
      </c>
      <c r="D9" s="10">
        <v>90</v>
      </c>
      <c r="E9" s="10">
        <v>35</v>
      </c>
      <c r="F9" s="10" t="s">
        <v>17</v>
      </c>
      <c r="G9" s="2"/>
      <c r="H9" s="2"/>
      <c r="I9" s="18" t="s">
        <v>105</v>
      </c>
      <c r="J9" s="19"/>
      <c r="K9" s="2"/>
      <c r="L9" s="2"/>
      <c r="M9" s="25" t="s">
        <v>129</v>
      </c>
      <c r="N9" s="11"/>
      <c r="P9" s="8" t="s">
        <v>1</v>
      </c>
      <c r="Q9" s="8" t="s">
        <v>2</v>
      </c>
      <c r="R9" s="8" t="s">
        <v>3</v>
      </c>
      <c r="S9" s="8" t="s">
        <v>98</v>
      </c>
      <c r="T9" s="11"/>
      <c r="U9" s="11"/>
      <c r="V9" s="24"/>
      <c r="W9" s="24"/>
      <c r="X9" s="11"/>
      <c r="Y9" s="11"/>
      <c r="Z9" s="24"/>
      <c r="AA9" s="24"/>
      <c r="AE9" s="7" t="s">
        <v>25</v>
      </c>
      <c r="AF9" s="15" t="str">
        <f t="shared" si="0"/>
        <v>07</v>
      </c>
      <c r="AH9" s="15" t="str">
        <f t="shared" si="1"/>
        <v>UK</v>
      </c>
      <c r="AJ9" s="15" t="str">
        <f t="shared" si="2"/>
        <v>JUN-UK</v>
      </c>
    </row>
    <row r="10" spans="1:36" ht="15.75" customHeight="1" x14ac:dyDescent="0.25">
      <c r="A10" s="9" t="s">
        <v>34</v>
      </c>
      <c r="B10" s="9" t="s">
        <v>35</v>
      </c>
      <c r="C10" s="9" t="s">
        <v>36</v>
      </c>
      <c r="D10" s="9">
        <v>500</v>
      </c>
      <c r="E10" s="9">
        <v>50</v>
      </c>
      <c r="F10" s="9" t="s">
        <v>9</v>
      </c>
      <c r="G10" s="2"/>
      <c r="H10" s="2"/>
      <c r="I10" s="21" t="s">
        <v>97</v>
      </c>
      <c r="J10" s="21">
        <f>COUNTA(B2:B35)</f>
        <v>34</v>
      </c>
      <c r="K10" s="2"/>
      <c r="L10" s="2"/>
      <c r="M10" s="16" t="s">
        <v>94</v>
      </c>
      <c r="N10" s="16">
        <f>MAX(D2:D35)</f>
        <v>1000</v>
      </c>
      <c r="P10" s="9" t="s">
        <v>7</v>
      </c>
      <c r="Q10" s="9" t="s">
        <v>8</v>
      </c>
      <c r="R10" s="9">
        <v>1000</v>
      </c>
      <c r="S10" s="5" t="str">
        <f>IF(D2&gt;=500,"High Price","Standard Price")</f>
        <v>High Price</v>
      </c>
      <c r="T10" s="24"/>
      <c r="U10" s="24"/>
      <c r="V10" s="21" t="s">
        <v>9</v>
      </c>
      <c r="W10" s="21">
        <f>SUMIF(F2:F35,"electronics",D2:D35)</f>
        <v>8050</v>
      </c>
      <c r="X10" s="24"/>
      <c r="Y10" s="24"/>
      <c r="Z10" s="16" t="s">
        <v>99</v>
      </c>
      <c r="AA10" s="16">
        <f>COUNTIF(D2:D100,"&lt;100")</f>
        <v>11</v>
      </c>
      <c r="AE10" s="6" t="s">
        <v>28</v>
      </c>
      <c r="AF10" s="15" t="str">
        <f t="shared" si="0"/>
        <v>19</v>
      </c>
      <c r="AH10" s="15" t="str">
        <f t="shared" si="1"/>
        <v>UK</v>
      </c>
      <c r="AJ10" s="15" t="str">
        <f t="shared" si="2"/>
        <v>JUL-UK</v>
      </c>
    </row>
    <row r="11" spans="1:36" ht="15.75" customHeight="1" x14ac:dyDescent="0.2">
      <c r="A11" s="10" t="s">
        <v>37</v>
      </c>
      <c r="B11" s="10" t="s">
        <v>38</v>
      </c>
      <c r="C11" s="10" t="s">
        <v>39</v>
      </c>
      <c r="D11" s="10">
        <v>130</v>
      </c>
      <c r="E11" s="10">
        <v>10</v>
      </c>
      <c r="F11" s="10" t="s">
        <v>24</v>
      </c>
      <c r="G11" s="2"/>
      <c r="H11" s="2"/>
      <c r="I11" s="20"/>
      <c r="J11" s="20"/>
      <c r="K11" s="2"/>
      <c r="L11" s="2"/>
      <c r="M11" s="2"/>
      <c r="P11" s="10" t="s">
        <v>11</v>
      </c>
      <c r="Q11" s="10" t="s">
        <v>12</v>
      </c>
      <c r="R11" s="10">
        <v>80</v>
      </c>
      <c r="S11" s="5" t="str">
        <f>IF(D3&gt;=500,"High Price","Standard Price")</f>
        <v>Standard Price</v>
      </c>
      <c r="T11" s="24"/>
      <c r="U11" s="24"/>
      <c r="X11" s="24"/>
      <c r="Y11" s="24"/>
      <c r="Z11" s="11"/>
      <c r="AA11" s="11"/>
      <c r="AE11" s="7" t="s">
        <v>31</v>
      </c>
      <c r="AF11" s="15" t="str">
        <f t="shared" si="0"/>
        <v>23</v>
      </c>
      <c r="AH11" s="15" t="str">
        <f t="shared" si="1"/>
        <v>UK</v>
      </c>
      <c r="AJ11" s="15" t="str">
        <f t="shared" si="2"/>
        <v>AUG-UK</v>
      </c>
    </row>
    <row r="12" spans="1:36" ht="15.75" customHeight="1" x14ac:dyDescent="0.25">
      <c r="A12" s="9" t="s">
        <v>40</v>
      </c>
      <c r="B12" s="9" t="s">
        <v>7</v>
      </c>
      <c r="C12" s="9" t="s">
        <v>41</v>
      </c>
      <c r="D12" s="9">
        <v>950</v>
      </c>
      <c r="E12" s="9">
        <v>25</v>
      </c>
      <c r="F12" s="9" t="s">
        <v>9</v>
      </c>
      <c r="G12" s="2"/>
      <c r="H12" s="2"/>
      <c r="I12" s="18" t="s">
        <v>128</v>
      </c>
      <c r="J12" s="19"/>
      <c r="K12" s="2"/>
      <c r="L12" s="2"/>
      <c r="M12" s="2"/>
      <c r="P12" s="9" t="s">
        <v>15</v>
      </c>
      <c r="Q12" s="9" t="s">
        <v>16</v>
      </c>
      <c r="R12" s="9">
        <v>130</v>
      </c>
      <c r="S12" s="5" t="str">
        <f>IF(D4&gt;=500,"High Price","Standard Price")</f>
        <v>Standard Price</v>
      </c>
      <c r="T12" s="24"/>
      <c r="U12" s="24"/>
      <c r="V12" s="11"/>
      <c r="W12" s="11"/>
      <c r="X12" s="24"/>
      <c r="Y12" s="24"/>
      <c r="Z12" s="11"/>
      <c r="AA12" s="11"/>
      <c r="AE12" s="6" t="s">
        <v>34</v>
      </c>
      <c r="AF12" s="15" t="str">
        <f t="shared" si="0"/>
        <v>05</v>
      </c>
      <c r="AH12" s="15" t="str">
        <f t="shared" si="1"/>
        <v>UK</v>
      </c>
      <c r="AJ12" s="15" t="str">
        <f t="shared" si="2"/>
        <v>SEP-UK</v>
      </c>
    </row>
    <row r="13" spans="1:36" ht="15.75" customHeight="1" x14ac:dyDescent="0.25">
      <c r="A13" s="10" t="s">
        <v>42</v>
      </c>
      <c r="B13" s="10" t="s">
        <v>11</v>
      </c>
      <c r="C13" s="10" t="s">
        <v>30</v>
      </c>
      <c r="D13" s="10">
        <v>90</v>
      </c>
      <c r="E13" s="10">
        <v>40</v>
      </c>
      <c r="F13" s="10" t="s">
        <v>13</v>
      </c>
      <c r="G13" s="2"/>
      <c r="H13" s="2"/>
      <c r="I13" s="18" t="s">
        <v>106</v>
      </c>
      <c r="J13" s="19"/>
      <c r="K13" s="2"/>
      <c r="L13" s="2"/>
      <c r="M13" s="2"/>
      <c r="P13" s="10" t="s">
        <v>19</v>
      </c>
      <c r="Q13" s="10" t="s">
        <v>20</v>
      </c>
      <c r="R13" s="10">
        <v>900</v>
      </c>
      <c r="S13" s="5" t="str">
        <f>IF(D5&gt;=500,"High Price","Standard Price")</f>
        <v>High Price</v>
      </c>
      <c r="V13" s="24"/>
      <c r="W13" s="24"/>
      <c r="Z13" s="24"/>
      <c r="AA13" s="24"/>
      <c r="AE13" s="7" t="s">
        <v>37</v>
      </c>
      <c r="AF13" s="15" t="str">
        <f t="shared" si="0"/>
        <v>14</v>
      </c>
      <c r="AH13" s="15" t="str">
        <f t="shared" si="1"/>
        <v>UK</v>
      </c>
      <c r="AJ13" s="15" t="str">
        <f t="shared" si="2"/>
        <v>OCT-UK</v>
      </c>
    </row>
    <row r="14" spans="1:36" ht="15.75" customHeight="1" x14ac:dyDescent="0.25">
      <c r="A14" s="9" t="s">
        <v>43</v>
      </c>
      <c r="B14" s="9" t="s">
        <v>15</v>
      </c>
      <c r="C14" s="9" t="s">
        <v>44</v>
      </c>
      <c r="D14" s="9">
        <v>120</v>
      </c>
      <c r="E14" s="9">
        <v>35</v>
      </c>
      <c r="F14" s="9" t="s">
        <v>17</v>
      </c>
      <c r="G14" s="2"/>
      <c r="H14" s="2"/>
      <c r="I14" s="21" t="s">
        <v>96</v>
      </c>
      <c r="J14" s="22">
        <f>AVERAGE(D2:D35)</f>
        <v>297.05882352941177</v>
      </c>
      <c r="K14" s="2"/>
      <c r="L14" s="2"/>
      <c r="M14" s="2"/>
      <c r="P14" s="9" t="s">
        <v>22</v>
      </c>
      <c r="Q14" s="9" t="s">
        <v>23</v>
      </c>
      <c r="R14" s="9">
        <v>70</v>
      </c>
      <c r="S14" s="5" t="str">
        <f>IF(D6&gt;=500,"High Price","Standard Price")</f>
        <v>Standard Price</v>
      </c>
      <c r="V14" s="24"/>
      <c r="W14" s="24"/>
      <c r="Z14" s="24"/>
      <c r="AA14" s="24"/>
      <c r="AE14" s="6" t="s">
        <v>40</v>
      </c>
      <c r="AF14" s="15" t="str">
        <f t="shared" si="0"/>
        <v>17</v>
      </c>
      <c r="AH14" s="15" t="str">
        <f t="shared" si="1"/>
        <v>IN</v>
      </c>
      <c r="AJ14" s="15" t="str">
        <f t="shared" si="2"/>
        <v>JUN-IN</v>
      </c>
    </row>
    <row r="15" spans="1:36" ht="15.75" customHeight="1" x14ac:dyDescent="0.2">
      <c r="A15" s="10" t="s">
        <v>45</v>
      </c>
      <c r="B15" s="10" t="s">
        <v>46</v>
      </c>
      <c r="C15" s="10" t="s">
        <v>47</v>
      </c>
      <c r="D15" s="10">
        <v>150</v>
      </c>
      <c r="E15" s="10">
        <v>15</v>
      </c>
      <c r="F15" s="10" t="s">
        <v>9</v>
      </c>
      <c r="G15" s="2"/>
      <c r="H15" s="2"/>
      <c r="I15" s="19"/>
      <c r="J15" s="19"/>
      <c r="K15" s="2"/>
      <c r="L15" s="2"/>
      <c r="M15" s="2"/>
      <c r="P15" s="10" t="s">
        <v>26</v>
      </c>
      <c r="Q15" s="10" t="s">
        <v>27</v>
      </c>
      <c r="R15" s="10">
        <v>200</v>
      </c>
      <c r="S15" s="5" t="str">
        <f>IF(D7&gt;=500,"High Price","Standard Price")</f>
        <v>Standard Price</v>
      </c>
      <c r="V15" s="24"/>
      <c r="W15" s="24"/>
      <c r="Z15" s="24"/>
      <c r="AA15" s="24"/>
      <c r="AE15" s="7" t="s">
        <v>42</v>
      </c>
      <c r="AF15" s="15" t="str">
        <f t="shared" si="0"/>
        <v>25</v>
      </c>
      <c r="AH15" s="15" t="str">
        <f t="shared" si="1"/>
        <v>AU</v>
      </c>
      <c r="AJ15" s="15" t="str">
        <f t="shared" si="2"/>
        <v>NOV-AU</v>
      </c>
    </row>
    <row r="16" spans="1:36" ht="15.75" customHeight="1" x14ac:dyDescent="0.2">
      <c r="A16" s="9" t="s">
        <v>48</v>
      </c>
      <c r="B16" s="9" t="s">
        <v>26</v>
      </c>
      <c r="C16" s="9" t="s">
        <v>49</v>
      </c>
      <c r="D16" s="9">
        <v>250</v>
      </c>
      <c r="E16" s="9">
        <v>20</v>
      </c>
      <c r="F16" s="9" t="s">
        <v>9</v>
      </c>
      <c r="G16" s="2"/>
      <c r="H16" s="2"/>
      <c r="I16" s="19"/>
      <c r="J16" s="19"/>
      <c r="K16" s="2"/>
      <c r="L16" s="2"/>
      <c r="M16" s="2"/>
      <c r="P16" s="9" t="s">
        <v>29</v>
      </c>
      <c r="Q16" s="9" t="s">
        <v>30</v>
      </c>
      <c r="R16" s="9">
        <v>30</v>
      </c>
      <c r="S16" s="5" t="str">
        <f>IF(D8&gt;=500,"High Price","Standard Price")</f>
        <v>Standard Price</v>
      </c>
      <c r="AE16" s="6" t="s">
        <v>43</v>
      </c>
      <c r="AF16" s="15" t="str">
        <f t="shared" si="0"/>
        <v>08</v>
      </c>
      <c r="AH16" s="15" t="str">
        <f t="shared" si="1"/>
        <v>DE</v>
      </c>
      <c r="AJ16" s="15" t="str">
        <f t="shared" si="2"/>
        <v>DEC-DE</v>
      </c>
    </row>
    <row r="17" spans="1:36" ht="15.75" customHeight="1" x14ac:dyDescent="0.2">
      <c r="A17" s="10" t="s">
        <v>50</v>
      </c>
      <c r="B17" s="10" t="s">
        <v>51</v>
      </c>
      <c r="C17" s="10" t="s">
        <v>52</v>
      </c>
      <c r="D17" s="10">
        <v>50</v>
      </c>
      <c r="E17" s="10">
        <v>35</v>
      </c>
      <c r="F17" s="10" t="s">
        <v>53</v>
      </c>
      <c r="G17" s="2"/>
      <c r="H17" s="2"/>
      <c r="I17" s="19"/>
      <c r="J17" s="19"/>
      <c r="K17" s="2"/>
      <c r="L17" s="2"/>
      <c r="M17" s="2"/>
      <c r="P17" s="10" t="s">
        <v>32</v>
      </c>
      <c r="Q17" s="10" t="s">
        <v>33</v>
      </c>
      <c r="R17" s="10">
        <v>90</v>
      </c>
      <c r="S17" s="5" t="str">
        <f>IF(D9&gt;=500,"High Price","Standard Price")</f>
        <v>Standard Price</v>
      </c>
      <c r="AE17" s="7" t="s">
        <v>45</v>
      </c>
      <c r="AF17" s="15" t="str">
        <f t="shared" si="0"/>
        <v>18</v>
      </c>
      <c r="AH17" s="15" t="str">
        <f t="shared" si="1"/>
        <v>CA</v>
      </c>
      <c r="AJ17" s="15" t="str">
        <f t="shared" si="2"/>
        <v>FEB-CA</v>
      </c>
    </row>
    <row r="18" spans="1:36" ht="15.75" customHeight="1" x14ac:dyDescent="0.2">
      <c r="A18" s="9" t="s">
        <v>54</v>
      </c>
      <c r="B18" s="9" t="s">
        <v>46</v>
      </c>
      <c r="C18" s="9" t="s">
        <v>55</v>
      </c>
      <c r="D18" s="9">
        <v>160</v>
      </c>
      <c r="E18" s="9">
        <v>15</v>
      </c>
      <c r="F18" s="9" t="s">
        <v>9</v>
      </c>
      <c r="G18" s="2"/>
      <c r="H18" s="2"/>
      <c r="I18" s="2"/>
      <c r="J18" s="2"/>
      <c r="K18" s="2"/>
      <c r="L18" s="2"/>
      <c r="M18" s="2"/>
      <c r="P18" s="9" t="s">
        <v>35</v>
      </c>
      <c r="Q18" s="9" t="s">
        <v>36</v>
      </c>
      <c r="R18" s="9">
        <v>500</v>
      </c>
      <c r="S18" s="5" t="str">
        <f>IF(D10&gt;=500,"High Price","Standard Price")</f>
        <v>High Price</v>
      </c>
      <c r="AE18" s="6" t="s">
        <v>48</v>
      </c>
      <c r="AF18" s="15" t="str">
        <f t="shared" si="0"/>
        <v>16</v>
      </c>
      <c r="AH18" s="15" t="str">
        <f t="shared" si="1"/>
        <v>ES</v>
      </c>
      <c r="AJ18" s="15" t="str">
        <f t="shared" si="2"/>
        <v>APR-ES</v>
      </c>
    </row>
    <row r="19" spans="1:36" ht="15.75" customHeight="1" x14ac:dyDescent="0.2">
      <c r="A19" s="10" t="s">
        <v>56</v>
      </c>
      <c r="B19" s="10" t="s">
        <v>7</v>
      </c>
      <c r="C19" s="10" t="s">
        <v>57</v>
      </c>
      <c r="D19" s="10">
        <v>980</v>
      </c>
      <c r="E19" s="10">
        <v>10</v>
      </c>
      <c r="F19" s="10" t="s">
        <v>9</v>
      </c>
      <c r="G19" s="2"/>
      <c r="H19" s="2"/>
      <c r="I19" s="2"/>
      <c r="J19" s="2"/>
      <c r="K19" s="2"/>
      <c r="L19" s="2"/>
      <c r="M19" s="2"/>
      <c r="P19" s="10" t="s">
        <v>38</v>
      </c>
      <c r="Q19" s="10" t="s">
        <v>39</v>
      </c>
      <c r="R19" s="10">
        <v>130</v>
      </c>
      <c r="S19" s="5" t="str">
        <f>IF(D11&gt;=500,"High Price","Standard Price")</f>
        <v>Standard Price</v>
      </c>
      <c r="AE19" s="7" t="s">
        <v>50</v>
      </c>
      <c r="AF19" s="15" t="str">
        <f t="shared" si="0"/>
        <v>21</v>
      </c>
      <c r="AH19" s="15" t="str">
        <f t="shared" si="1"/>
        <v>CA</v>
      </c>
      <c r="AJ19" s="15" t="str">
        <f t="shared" si="2"/>
        <v>AUG-CA</v>
      </c>
    </row>
    <row r="20" spans="1:36" ht="15.75" customHeight="1" x14ac:dyDescent="0.2">
      <c r="A20" s="9" t="s">
        <v>58</v>
      </c>
      <c r="B20" s="9" t="s">
        <v>59</v>
      </c>
      <c r="C20" s="9" t="s">
        <v>60</v>
      </c>
      <c r="D20" s="9">
        <v>150</v>
      </c>
      <c r="E20" s="9">
        <v>15</v>
      </c>
      <c r="F20" s="9" t="s">
        <v>13</v>
      </c>
      <c r="G20" s="2"/>
      <c r="H20" s="2"/>
      <c r="I20" s="2"/>
      <c r="J20" s="2"/>
      <c r="K20" s="2"/>
      <c r="L20" s="2"/>
      <c r="M20" s="2"/>
      <c r="P20" s="9" t="s">
        <v>7</v>
      </c>
      <c r="Q20" s="9" t="s">
        <v>41</v>
      </c>
      <c r="R20" s="9">
        <v>950</v>
      </c>
      <c r="S20" s="5" t="str">
        <f>IF(D12&gt;=500,"High Price","Standard Price")</f>
        <v>High Price</v>
      </c>
      <c r="AE20" s="6" t="s">
        <v>54</v>
      </c>
      <c r="AF20" s="15" t="str">
        <f t="shared" si="0"/>
        <v>20</v>
      </c>
      <c r="AH20" s="15" t="str">
        <f t="shared" si="1"/>
        <v>CN</v>
      </c>
      <c r="AJ20" s="15" t="str">
        <f t="shared" si="2"/>
        <v>AUG-CN</v>
      </c>
    </row>
    <row r="21" spans="1:36" ht="15.75" customHeight="1" x14ac:dyDescent="0.2">
      <c r="A21" s="10" t="s">
        <v>61</v>
      </c>
      <c r="B21" s="10" t="s">
        <v>62</v>
      </c>
      <c r="C21" s="10" t="s">
        <v>63</v>
      </c>
      <c r="D21" s="10">
        <v>200</v>
      </c>
      <c r="E21" s="10">
        <v>10</v>
      </c>
      <c r="F21" s="10" t="s">
        <v>24</v>
      </c>
      <c r="G21" s="2"/>
      <c r="H21" s="2"/>
      <c r="I21" s="3"/>
      <c r="J21" s="3"/>
      <c r="K21" s="2"/>
      <c r="L21" s="2"/>
      <c r="M21" s="2"/>
      <c r="P21" s="10" t="s">
        <v>11</v>
      </c>
      <c r="Q21" s="10" t="s">
        <v>30</v>
      </c>
      <c r="R21" s="10">
        <v>90</v>
      </c>
      <c r="S21" s="5" t="str">
        <f>IF(D13&gt;=500,"High Price","Standard Price")</f>
        <v>Standard Price</v>
      </c>
      <c r="AE21" s="7" t="s">
        <v>56</v>
      </c>
      <c r="AF21" s="15" t="str">
        <f t="shared" si="0"/>
        <v>27</v>
      </c>
      <c r="AH21" s="15" t="str">
        <f t="shared" si="1"/>
        <v>IT</v>
      </c>
      <c r="AJ21" s="15" t="str">
        <f t="shared" si="2"/>
        <v>JAN-IT</v>
      </c>
    </row>
    <row r="22" spans="1:36" ht="15.75" customHeight="1" x14ac:dyDescent="0.2">
      <c r="A22" s="9" t="s">
        <v>64</v>
      </c>
      <c r="B22" s="9" t="s">
        <v>65</v>
      </c>
      <c r="C22" s="9" t="s">
        <v>66</v>
      </c>
      <c r="D22" s="9">
        <v>700</v>
      </c>
      <c r="E22" s="9">
        <v>50</v>
      </c>
      <c r="F22" s="9" t="s">
        <v>9</v>
      </c>
      <c r="G22" s="2"/>
      <c r="H22" s="2"/>
      <c r="I22" s="2"/>
      <c r="J22" s="2"/>
      <c r="K22" s="2"/>
      <c r="L22" s="2"/>
      <c r="M22" s="2"/>
      <c r="P22" s="9" t="s">
        <v>15</v>
      </c>
      <c r="Q22" s="9" t="s">
        <v>44</v>
      </c>
      <c r="R22" s="9">
        <v>120</v>
      </c>
      <c r="S22" s="5" t="str">
        <f>IF(D14&gt;=500,"High Price","Standard Price")</f>
        <v>Standard Price</v>
      </c>
      <c r="AE22" s="6" t="s">
        <v>58</v>
      </c>
      <c r="AF22" s="15" t="str">
        <f t="shared" si="0"/>
        <v>01</v>
      </c>
      <c r="AH22" s="15" t="str">
        <f t="shared" si="1"/>
        <v>UK</v>
      </c>
      <c r="AJ22" s="15" t="str">
        <f t="shared" si="2"/>
        <v>MAR-UK</v>
      </c>
    </row>
    <row r="23" spans="1:36" ht="15.75" customHeight="1" x14ac:dyDescent="0.2">
      <c r="A23" s="10" t="s">
        <v>67</v>
      </c>
      <c r="B23" s="10" t="s">
        <v>68</v>
      </c>
      <c r="C23" s="10" t="s">
        <v>69</v>
      </c>
      <c r="D23" s="10">
        <v>80</v>
      </c>
      <c r="E23" s="10">
        <v>20</v>
      </c>
      <c r="F23" s="10" t="s">
        <v>17</v>
      </c>
      <c r="G23" s="2"/>
      <c r="H23" s="2"/>
      <c r="I23" s="2"/>
      <c r="J23" s="2"/>
      <c r="K23" s="2"/>
      <c r="L23" s="2"/>
      <c r="M23" s="2"/>
      <c r="P23" s="10" t="s">
        <v>46</v>
      </c>
      <c r="Q23" s="10" t="s">
        <v>47</v>
      </c>
      <c r="R23" s="10">
        <v>150</v>
      </c>
      <c r="S23" s="5" t="str">
        <f>IF(D15&gt;=500,"High Price","Standard Price")</f>
        <v>Standard Price</v>
      </c>
      <c r="AE23" s="7" t="s">
        <v>61</v>
      </c>
      <c r="AF23" s="15" t="str">
        <f t="shared" si="0"/>
        <v>14</v>
      </c>
      <c r="AH23" s="15" t="str">
        <f t="shared" si="1"/>
        <v>US</v>
      </c>
      <c r="AJ23" s="15" t="str">
        <f t="shared" si="2"/>
        <v>AUG-US</v>
      </c>
    </row>
    <row r="24" spans="1:36" ht="15.75" customHeight="1" x14ac:dyDescent="0.2">
      <c r="A24" s="9" t="s">
        <v>70</v>
      </c>
      <c r="B24" s="9" t="s">
        <v>71</v>
      </c>
      <c r="C24" s="9" t="s">
        <v>72</v>
      </c>
      <c r="D24" s="9">
        <v>150</v>
      </c>
      <c r="E24" s="9">
        <v>30</v>
      </c>
      <c r="F24" s="9" t="s">
        <v>9</v>
      </c>
      <c r="G24" s="2"/>
      <c r="H24" s="2"/>
      <c r="I24" s="2"/>
      <c r="J24" s="2"/>
      <c r="K24" s="2"/>
      <c r="L24" s="2"/>
      <c r="M24" s="2"/>
      <c r="P24" s="9" t="s">
        <v>26</v>
      </c>
      <c r="Q24" s="9" t="s">
        <v>49</v>
      </c>
      <c r="R24" s="9">
        <v>250</v>
      </c>
      <c r="S24" s="5" t="str">
        <f>IF(D16&gt;=500,"High Price","Standard Price")</f>
        <v>Standard Price</v>
      </c>
      <c r="AE24" s="6" t="s">
        <v>64</v>
      </c>
      <c r="AF24" s="15" t="str">
        <f t="shared" si="0"/>
        <v>14</v>
      </c>
      <c r="AH24" s="15" t="str">
        <f t="shared" si="1"/>
        <v>RU</v>
      </c>
      <c r="AJ24" s="15" t="str">
        <f t="shared" si="2"/>
        <v>MAY-RU</v>
      </c>
    </row>
    <row r="25" spans="1:36" ht="15.75" customHeight="1" x14ac:dyDescent="0.2">
      <c r="A25" s="10" t="s">
        <v>50</v>
      </c>
      <c r="B25" s="10" t="s">
        <v>51</v>
      </c>
      <c r="C25" s="10" t="s">
        <v>52</v>
      </c>
      <c r="D25" s="10">
        <v>50</v>
      </c>
      <c r="E25" s="10">
        <v>35</v>
      </c>
      <c r="F25" s="10" t="s">
        <v>53</v>
      </c>
      <c r="G25" s="3"/>
      <c r="H25" s="3"/>
      <c r="I25" s="3"/>
      <c r="J25" s="3"/>
      <c r="K25" s="3"/>
      <c r="L25" s="3"/>
      <c r="M25" s="3"/>
      <c r="P25" s="10" t="s">
        <v>51</v>
      </c>
      <c r="Q25" s="10" t="s">
        <v>52</v>
      </c>
      <c r="R25" s="10">
        <v>50</v>
      </c>
      <c r="S25" s="5" t="str">
        <f>IF(D17&gt;=500,"High Price","Standard Price")</f>
        <v>Standard Price</v>
      </c>
      <c r="AE25" s="7" t="s">
        <v>67</v>
      </c>
      <c r="AF25" s="15" t="str">
        <f t="shared" si="0"/>
        <v>09</v>
      </c>
      <c r="AH25" s="15" t="str">
        <f t="shared" si="1"/>
        <v>CA</v>
      </c>
      <c r="AJ25" s="15" t="str">
        <f t="shared" si="2"/>
        <v>JAN-CA</v>
      </c>
    </row>
    <row r="26" spans="1:36" ht="15.75" customHeight="1" x14ac:dyDescent="0.2">
      <c r="A26" s="9" t="s">
        <v>73</v>
      </c>
      <c r="B26" s="9" t="s">
        <v>19</v>
      </c>
      <c r="C26" s="9" t="s">
        <v>74</v>
      </c>
      <c r="D26" s="9">
        <v>800</v>
      </c>
      <c r="E26" s="9">
        <v>45</v>
      </c>
      <c r="F26" s="9" t="s">
        <v>9</v>
      </c>
      <c r="G26" s="2"/>
      <c r="H26" s="2"/>
      <c r="I26" s="2"/>
      <c r="J26" s="2"/>
      <c r="K26" s="2"/>
      <c r="L26" s="2"/>
      <c r="M26" s="2"/>
      <c r="P26" s="9" t="s">
        <v>46</v>
      </c>
      <c r="Q26" s="9" t="s">
        <v>55</v>
      </c>
      <c r="R26" s="9">
        <v>160</v>
      </c>
      <c r="S26" s="5" t="str">
        <f>IF(D18&gt;=500,"High Price","Standard Price")</f>
        <v>Standard Price</v>
      </c>
      <c r="AE26" s="6" t="s">
        <v>70</v>
      </c>
      <c r="AF26" s="15" t="str">
        <f t="shared" si="0"/>
        <v>19</v>
      </c>
      <c r="AH26" s="15" t="str">
        <f t="shared" si="1"/>
        <v>BR</v>
      </c>
      <c r="AJ26" s="15" t="str">
        <f t="shared" si="2"/>
        <v>JUL-BR</v>
      </c>
    </row>
    <row r="27" spans="1:36" ht="15.75" customHeight="1" x14ac:dyDescent="0.2">
      <c r="A27" s="10" t="s">
        <v>75</v>
      </c>
      <c r="B27" s="10" t="s">
        <v>59</v>
      </c>
      <c r="C27" s="10" t="s">
        <v>76</v>
      </c>
      <c r="D27" s="10">
        <v>130</v>
      </c>
      <c r="E27" s="10">
        <v>25</v>
      </c>
      <c r="F27" s="10" t="s">
        <v>13</v>
      </c>
      <c r="G27" s="2"/>
      <c r="H27" s="2"/>
      <c r="I27" s="2"/>
      <c r="J27" s="2"/>
      <c r="K27" s="2"/>
      <c r="L27" s="2"/>
      <c r="M27" s="2"/>
      <c r="P27" s="10" t="s">
        <v>7</v>
      </c>
      <c r="Q27" s="10" t="s">
        <v>57</v>
      </c>
      <c r="R27" s="10">
        <v>980</v>
      </c>
      <c r="S27" s="5" t="str">
        <f>IF(D19&gt;=500,"High Price","Standard Price")</f>
        <v>High Price</v>
      </c>
      <c r="AE27" s="7" t="s">
        <v>50</v>
      </c>
      <c r="AF27" s="15" t="str">
        <f t="shared" si="0"/>
        <v>21</v>
      </c>
      <c r="AH27" s="15" t="str">
        <f t="shared" si="1"/>
        <v>CA</v>
      </c>
      <c r="AJ27" s="15" t="str">
        <f t="shared" si="2"/>
        <v>AUG-CA</v>
      </c>
    </row>
    <row r="28" spans="1:36" ht="15.75" customHeight="1" x14ac:dyDescent="0.2">
      <c r="A28" s="9" t="s">
        <v>77</v>
      </c>
      <c r="B28" s="9" t="s">
        <v>32</v>
      </c>
      <c r="C28" s="9" t="s">
        <v>78</v>
      </c>
      <c r="D28" s="9">
        <v>400</v>
      </c>
      <c r="E28" s="9">
        <v>40</v>
      </c>
      <c r="F28" s="9" t="s">
        <v>17</v>
      </c>
      <c r="G28" s="2"/>
      <c r="H28" s="2"/>
      <c r="I28" s="2"/>
      <c r="J28" s="2"/>
      <c r="K28" s="2"/>
      <c r="L28" s="2"/>
      <c r="M28" s="2"/>
      <c r="P28" s="9" t="s">
        <v>59</v>
      </c>
      <c r="Q28" s="9" t="s">
        <v>60</v>
      </c>
      <c r="R28" s="9">
        <v>150</v>
      </c>
      <c r="S28" s="5" t="str">
        <f>IF(D20&gt;=500,"High Price","Standard Price")</f>
        <v>Standard Price</v>
      </c>
      <c r="AE28" s="6" t="s">
        <v>73</v>
      </c>
      <c r="AF28" s="15" t="str">
        <f t="shared" si="0"/>
        <v>29</v>
      </c>
      <c r="AH28" s="15" t="str">
        <f t="shared" si="1"/>
        <v>CA</v>
      </c>
      <c r="AJ28" s="15" t="str">
        <f t="shared" si="2"/>
        <v>SEP-CA</v>
      </c>
    </row>
    <row r="29" spans="1:36" ht="15.75" customHeight="1" x14ac:dyDescent="0.2">
      <c r="A29" s="10" t="s">
        <v>48</v>
      </c>
      <c r="B29" s="10" t="s">
        <v>26</v>
      </c>
      <c r="C29" s="10" t="s">
        <v>49</v>
      </c>
      <c r="D29" s="10">
        <v>230</v>
      </c>
      <c r="E29" s="10">
        <v>20</v>
      </c>
      <c r="F29" s="10" t="s">
        <v>9</v>
      </c>
      <c r="G29" s="3"/>
      <c r="H29" s="3"/>
      <c r="I29" s="2"/>
      <c r="J29" s="2"/>
      <c r="K29" s="3"/>
      <c r="L29" s="3"/>
      <c r="M29" s="3"/>
      <c r="P29" s="10" t="s">
        <v>62</v>
      </c>
      <c r="Q29" s="10" t="s">
        <v>63</v>
      </c>
      <c r="R29" s="10">
        <v>200</v>
      </c>
      <c r="S29" s="5" t="str">
        <f>IF(D21&gt;=500,"High Price","Standard Price")</f>
        <v>Standard Price</v>
      </c>
      <c r="AE29" s="7" t="s">
        <v>75</v>
      </c>
      <c r="AF29" s="15" t="str">
        <f t="shared" si="0"/>
        <v>03</v>
      </c>
      <c r="AH29" s="15" t="str">
        <f t="shared" si="1"/>
        <v>CA</v>
      </c>
      <c r="AJ29" s="15" t="str">
        <f t="shared" si="2"/>
        <v>JUN-CA</v>
      </c>
    </row>
    <row r="30" spans="1:36" ht="15.75" customHeight="1" x14ac:dyDescent="0.2">
      <c r="A30" s="9" t="s">
        <v>79</v>
      </c>
      <c r="B30" s="9" t="s">
        <v>80</v>
      </c>
      <c r="C30" s="9" t="s">
        <v>81</v>
      </c>
      <c r="D30" s="9">
        <v>60</v>
      </c>
      <c r="E30" s="9">
        <v>30</v>
      </c>
      <c r="F30" s="9" t="s">
        <v>13</v>
      </c>
      <c r="G30" s="2"/>
      <c r="H30" s="2"/>
      <c r="I30" s="2"/>
      <c r="J30" s="2"/>
      <c r="K30" s="2"/>
      <c r="L30" s="2"/>
      <c r="M30" s="2"/>
      <c r="P30" s="9" t="s">
        <v>65</v>
      </c>
      <c r="Q30" s="9" t="s">
        <v>66</v>
      </c>
      <c r="R30" s="9">
        <v>700</v>
      </c>
      <c r="S30" s="5" t="str">
        <f>IF(D22&gt;=500,"High Price","Standard Price")</f>
        <v>High Price</v>
      </c>
      <c r="AE30" s="6" t="s">
        <v>77</v>
      </c>
      <c r="AF30" s="15" t="str">
        <f t="shared" si="0"/>
        <v>11</v>
      </c>
      <c r="AH30" s="15" t="str">
        <f t="shared" si="1"/>
        <v>CA</v>
      </c>
      <c r="AJ30" s="15" t="str">
        <f t="shared" si="2"/>
        <v>JUL-CA</v>
      </c>
    </row>
    <row r="31" spans="1:36" ht="15.75" customHeight="1" x14ac:dyDescent="0.2">
      <c r="A31" s="10" t="s">
        <v>82</v>
      </c>
      <c r="B31" s="10" t="s">
        <v>83</v>
      </c>
      <c r="C31" s="10" t="s">
        <v>84</v>
      </c>
      <c r="D31" s="10">
        <v>40</v>
      </c>
      <c r="E31" s="10">
        <v>10</v>
      </c>
      <c r="F31" s="10" t="s">
        <v>17</v>
      </c>
      <c r="G31" s="2"/>
      <c r="H31" s="2"/>
      <c r="I31" s="2"/>
      <c r="J31" s="2"/>
      <c r="K31" s="2"/>
      <c r="L31" s="2"/>
      <c r="M31" s="2"/>
      <c r="P31" s="10" t="s">
        <v>68</v>
      </c>
      <c r="Q31" s="10" t="s">
        <v>69</v>
      </c>
      <c r="R31" s="10">
        <v>80</v>
      </c>
      <c r="S31" s="5" t="str">
        <f>IF(D23&gt;=500,"High Price","Standard Price")</f>
        <v>Standard Price</v>
      </c>
      <c r="AE31" s="7" t="s">
        <v>48</v>
      </c>
      <c r="AF31" s="15" t="str">
        <f t="shared" si="0"/>
        <v>16</v>
      </c>
      <c r="AH31" s="15" t="str">
        <f t="shared" si="1"/>
        <v>ES</v>
      </c>
      <c r="AJ31" s="15" t="str">
        <f t="shared" si="2"/>
        <v>APR-ES</v>
      </c>
    </row>
    <row r="32" spans="1:36" ht="15.75" customHeight="1" x14ac:dyDescent="0.2">
      <c r="A32" s="9" t="s">
        <v>85</v>
      </c>
      <c r="B32" s="9" t="s">
        <v>71</v>
      </c>
      <c r="C32" s="9" t="s">
        <v>86</v>
      </c>
      <c r="D32" s="9">
        <v>130</v>
      </c>
      <c r="E32" s="9">
        <v>5</v>
      </c>
      <c r="F32" s="9" t="s">
        <v>9</v>
      </c>
      <c r="G32" s="2"/>
      <c r="H32" s="2"/>
      <c r="K32" s="2"/>
      <c r="L32" s="2"/>
      <c r="M32" s="2"/>
      <c r="P32" s="9" t="s">
        <v>71</v>
      </c>
      <c r="Q32" s="9" t="s">
        <v>72</v>
      </c>
      <c r="R32" s="9">
        <v>150</v>
      </c>
      <c r="S32" s="5" t="str">
        <f>IF(D24&gt;=500,"High Price","Standard Price")</f>
        <v>Standard Price</v>
      </c>
      <c r="AE32" s="6" t="s">
        <v>79</v>
      </c>
      <c r="AF32" s="15" t="str">
        <f t="shared" si="0"/>
        <v>07</v>
      </c>
      <c r="AH32" s="15" t="str">
        <f t="shared" si="1"/>
        <v>CA</v>
      </c>
      <c r="AJ32" s="15" t="str">
        <f t="shared" si="2"/>
        <v>MAR-CA</v>
      </c>
    </row>
    <row r="33" spans="1:36" ht="15.75" customHeight="1" x14ac:dyDescent="0.2">
      <c r="A33" s="10" t="s">
        <v>87</v>
      </c>
      <c r="B33" s="10" t="s">
        <v>88</v>
      </c>
      <c r="C33" s="10" t="s">
        <v>89</v>
      </c>
      <c r="D33" s="10">
        <v>50</v>
      </c>
      <c r="E33" s="10">
        <v>50</v>
      </c>
      <c r="F33" s="10" t="s">
        <v>13</v>
      </c>
      <c r="G33" s="2"/>
      <c r="H33" s="2"/>
      <c r="K33" s="2"/>
      <c r="L33" s="2"/>
      <c r="M33" s="2"/>
      <c r="P33" s="10" t="s">
        <v>51</v>
      </c>
      <c r="Q33" s="10" t="s">
        <v>52</v>
      </c>
      <c r="R33" s="10">
        <v>50</v>
      </c>
      <c r="S33" s="5" t="str">
        <f>IF(D25&gt;=500,"High Price","Standard Price")</f>
        <v>Standard Price</v>
      </c>
      <c r="AE33" s="7" t="s">
        <v>82</v>
      </c>
      <c r="AF33" s="15" t="str">
        <f t="shared" si="0"/>
        <v>13</v>
      </c>
      <c r="AH33" s="15" t="str">
        <f t="shared" si="1"/>
        <v>CA</v>
      </c>
      <c r="AJ33" s="15" t="str">
        <f t="shared" si="2"/>
        <v>APR-CA</v>
      </c>
    </row>
    <row r="34" spans="1:36" ht="15.75" customHeight="1" x14ac:dyDescent="0.2">
      <c r="A34" s="9" t="s">
        <v>40</v>
      </c>
      <c r="B34" s="9" t="s">
        <v>7</v>
      </c>
      <c r="C34" s="9" t="s">
        <v>41</v>
      </c>
      <c r="D34" s="9">
        <v>950</v>
      </c>
      <c r="E34" s="9">
        <v>25</v>
      </c>
      <c r="F34" s="9" t="s">
        <v>9</v>
      </c>
      <c r="G34" s="2"/>
      <c r="H34" s="2"/>
      <c r="K34" s="2"/>
      <c r="L34" s="2"/>
      <c r="M34" s="2"/>
      <c r="P34" s="9" t="s">
        <v>19</v>
      </c>
      <c r="Q34" s="9" t="s">
        <v>74</v>
      </c>
      <c r="R34" s="9">
        <v>800</v>
      </c>
      <c r="S34" s="5" t="str">
        <f>IF(D26&gt;=500,"High Price","Standard Price")</f>
        <v>High Price</v>
      </c>
      <c r="AE34" s="6" t="s">
        <v>85</v>
      </c>
      <c r="AF34" s="15" t="str">
        <f t="shared" si="0"/>
        <v>24</v>
      </c>
      <c r="AH34" s="15" t="str">
        <f t="shared" si="1"/>
        <v>CA</v>
      </c>
      <c r="AJ34" s="15" t="str">
        <f t="shared" si="2"/>
        <v>MAY-CA</v>
      </c>
    </row>
    <row r="35" spans="1:36" ht="15.75" customHeight="1" x14ac:dyDescent="0.2">
      <c r="A35" s="10" t="s">
        <v>90</v>
      </c>
      <c r="B35" s="10" t="s">
        <v>91</v>
      </c>
      <c r="C35" s="10" t="s">
        <v>92</v>
      </c>
      <c r="D35" s="10">
        <v>100</v>
      </c>
      <c r="E35" s="10">
        <v>20</v>
      </c>
      <c r="F35" s="10" t="s">
        <v>53</v>
      </c>
      <c r="G35" s="2"/>
      <c r="H35" s="2"/>
      <c r="K35" s="2"/>
      <c r="L35" s="2"/>
      <c r="M35" s="2"/>
      <c r="P35" s="10" t="s">
        <v>59</v>
      </c>
      <c r="Q35" s="10" t="s">
        <v>76</v>
      </c>
      <c r="R35" s="10">
        <v>130</v>
      </c>
      <c r="S35" s="5" t="str">
        <f>IF(D27&gt;=500,"High Price","Standard Price")</f>
        <v>Standard Price</v>
      </c>
      <c r="AE35" s="7" t="s">
        <v>87</v>
      </c>
      <c r="AF35" s="15" t="str">
        <f t="shared" si="0"/>
        <v>02</v>
      </c>
      <c r="AH35" s="15" t="str">
        <f t="shared" si="1"/>
        <v>CA</v>
      </c>
      <c r="AJ35" s="15" t="str">
        <f t="shared" si="2"/>
        <v>DEC-CA</v>
      </c>
    </row>
    <row r="36" spans="1:36" ht="15.75" customHeight="1" x14ac:dyDescent="0.2">
      <c r="P36" s="9" t="s">
        <v>32</v>
      </c>
      <c r="Q36" s="9" t="s">
        <v>78</v>
      </c>
      <c r="R36" s="9">
        <v>400</v>
      </c>
      <c r="S36" s="5" t="str">
        <f>IF(D28&gt;=500,"High Price","Standard Price")</f>
        <v>Standard Price</v>
      </c>
      <c r="AE36" s="6" t="s">
        <v>40</v>
      </c>
      <c r="AF36" s="15" t="str">
        <f t="shared" si="0"/>
        <v>17</v>
      </c>
      <c r="AH36" s="15" t="str">
        <f t="shared" si="1"/>
        <v>IN</v>
      </c>
      <c r="AJ36" s="15" t="str">
        <f t="shared" si="2"/>
        <v>JUN-IN</v>
      </c>
    </row>
    <row r="37" spans="1:36" ht="15.75" customHeight="1" x14ac:dyDescent="0.2">
      <c r="P37" s="10" t="s">
        <v>26</v>
      </c>
      <c r="Q37" s="10" t="s">
        <v>49</v>
      </c>
      <c r="R37" s="10">
        <v>230</v>
      </c>
      <c r="S37" s="5" t="str">
        <f>IF(D29&gt;=500,"High Price","Standard Price")</f>
        <v>Standard Price</v>
      </c>
      <c r="AE37" s="7" t="s">
        <v>90</v>
      </c>
      <c r="AF37" s="15" t="str">
        <f t="shared" si="0"/>
        <v>09</v>
      </c>
      <c r="AH37" s="15" t="str">
        <f t="shared" si="1"/>
        <v>FR</v>
      </c>
      <c r="AJ37" s="15" t="str">
        <f t="shared" si="2"/>
        <v>JUL-FR</v>
      </c>
    </row>
    <row r="38" spans="1:36" ht="15.75" customHeight="1" x14ac:dyDescent="0.2">
      <c r="P38" s="9" t="s">
        <v>80</v>
      </c>
      <c r="Q38" s="9" t="s">
        <v>81</v>
      </c>
      <c r="R38" s="9">
        <v>60</v>
      </c>
      <c r="S38" s="5" t="str">
        <f>IF(D30&gt;=500,"High Price","Standard Price")</f>
        <v>Standard Price</v>
      </c>
    </row>
    <row r="39" spans="1:36" ht="15.75" customHeight="1" x14ac:dyDescent="0.2">
      <c r="P39" s="10" t="s">
        <v>83</v>
      </c>
      <c r="Q39" s="10" t="s">
        <v>84</v>
      </c>
      <c r="R39" s="10">
        <v>40</v>
      </c>
      <c r="S39" s="5" t="str">
        <f>IF(D31&gt;=500,"High Price","Standard Price")</f>
        <v>Standard Price</v>
      </c>
    </row>
    <row r="40" spans="1:36" ht="15.75" customHeight="1" x14ac:dyDescent="0.2">
      <c r="P40" s="9" t="s">
        <v>71</v>
      </c>
      <c r="Q40" s="9" t="s">
        <v>86</v>
      </c>
      <c r="R40" s="9">
        <v>130</v>
      </c>
      <c r="S40" s="5" t="str">
        <f>IF(D32&gt;=500,"High Price","Standard Price")</f>
        <v>Standard Price</v>
      </c>
    </row>
    <row r="41" spans="1:36" ht="15.75" customHeight="1" x14ac:dyDescent="0.2">
      <c r="P41" s="10" t="s">
        <v>88</v>
      </c>
      <c r="Q41" s="10" t="s">
        <v>89</v>
      </c>
      <c r="R41" s="10">
        <v>50</v>
      </c>
      <c r="S41" s="5" t="str">
        <f>IF(D33&gt;=500,"High Price","Standard Price")</f>
        <v>Standard Price</v>
      </c>
    </row>
    <row r="42" spans="1:36" ht="15.75" customHeight="1" x14ac:dyDescent="0.2">
      <c r="P42" s="9" t="s">
        <v>7</v>
      </c>
      <c r="Q42" s="9" t="s">
        <v>41</v>
      </c>
      <c r="R42" s="9">
        <v>950</v>
      </c>
      <c r="S42" s="5" t="str">
        <f>IF(D34&gt;=500,"High Price","Standard Price")</f>
        <v>High Price</v>
      </c>
    </row>
    <row r="43" spans="1:36" ht="15.75" customHeight="1" x14ac:dyDescent="0.2">
      <c r="P43" s="10" t="s">
        <v>91</v>
      </c>
      <c r="Q43" s="10" t="s">
        <v>92</v>
      </c>
      <c r="R43" s="10">
        <v>100</v>
      </c>
      <c r="S43" s="5" t="str">
        <f>IF(D35&gt;=500,"High Price","Standard Price")</f>
        <v>Standard Price</v>
      </c>
    </row>
    <row r="44" spans="1:36" ht="15.75" customHeight="1" x14ac:dyDescent="0.2"/>
    <row r="45" spans="1:36" ht="15.75" customHeight="1" x14ac:dyDescent="0.2"/>
    <row r="46" spans="1:36" ht="15.75" customHeight="1" x14ac:dyDescent="0.2"/>
    <row r="47" spans="1:36" ht="15.75" customHeight="1" x14ac:dyDescent="0.2"/>
    <row r="48" spans="1:3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E2:AE3"/>
    <mergeCell ref="P7:S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2026-05-23T19:54:34Z</cp:lastPrinted>
  <dcterms:created xsi:type="dcterms:W3CDTF">2026-05-23T18:55:02Z</dcterms:created>
  <dcterms:modified xsi:type="dcterms:W3CDTF">2026-05-23T19:55:10Z</dcterms:modified>
</cp:coreProperties>
</file>